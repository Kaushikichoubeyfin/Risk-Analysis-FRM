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ushiki choubey\Desktop\Sem 3\FRM\Market Risk\"/>
    </mc:Choice>
  </mc:AlternateContent>
  <xr:revisionPtr revIDLastSave="0" documentId="13_ncr:1_{4C80B53D-CAEA-4512-936F-663EE50FA659}" xr6:coauthVersionLast="47" xr6:coauthVersionMax="47" xr10:uidLastSave="{00000000-0000-0000-0000-000000000000}"/>
  <bookViews>
    <workbookView xWindow="-108" yWindow="-108" windowWidth="23256" windowHeight="12456" xr2:uid="{90DB86A0-BFB0-4C82-B8FC-375428042A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1" l="1"/>
  <c r="E22" i="1"/>
  <c r="F13" i="1"/>
  <c r="F14" i="1"/>
  <c r="F15" i="1"/>
  <c r="F16" i="1"/>
  <c r="F17" i="1"/>
  <c r="F18" i="1"/>
  <c r="F19" i="1"/>
  <c r="F20" i="1"/>
  <c r="F21" i="1"/>
  <c r="F22" i="1"/>
  <c r="G22" i="1" l="1"/>
  <c r="E4" i="1" l="1"/>
  <c r="E5" i="1"/>
  <c r="E6" i="1"/>
  <c r="E7" i="1"/>
  <c r="E8" i="1"/>
  <c r="E9" i="1"/>
  <c r="E10" i="1"/>
  <c r="E11" i="1"/>
  <c r="E12" i="1"/>
  <c r="E13" i="1"/>
  <c r="G13" i="1" s="1"/>
  <c r="E14" i="1"/>
  <c r="G14" i="1" s="1"/>
  <c r="E15" i="1"/>
  <c r="G15" i="1" s="1"/>
  <c r="E16" i="1"/>
  <c r="G16" i="1" s="1"/>
  <c r="E17" i="1"/>
  <c r="G17" i="1" s="1"/>
  <c r="E18" i="1"/>
  <c r="G18" i="1" s="1"/>
  <c r="E19" i="1"/>
  <c r="G19" i="1" s="1"/>
  <c r="E20" i="1"/>
  <c r="G20" i="1" s="1"/>
  <c r="E21" i="1"/>
  <c r="G21" i="1" s="1"/>
  <c r="E3" i="1"/>
  <c r="F12" i="1"/>
  <c r="F11" i="1"/>
  <c r="F10" i="1"/>
  <c r="F9" i="1"/>
  <c r="G9" i="1" s="1"/>
  <c r="F8" i="1"/>
  <c r="F7" i="1"/>
  <c r="F6" i="1"/>
  <c r="F5" i="1"/>
  <c r="G5" i="1" s="1"/>
  <c r="F4" i="1"/>
  <c r="F3" i="1"/>
  <c r="G11" i="1" l="1"/>
  <c r="G4" i="1"/>
  <c r="G12" i="1"/>
  <c r="G10" i="1"/>
  <c r="G6" i="1"/>
  <c r="G7" i="1"/>
  <c r="G8" i="1"/>
  <c r="G3" i="1"/>
  <c r="G23" i="1" l="1"/>
  <c r="H3" i="1" s="1"/>
  <c r="I3" i="1" s="1"/>
  <c r="J3" i="1" l="1"/>
  <c r="H20" i="1"/>
  <c r="I20" i="1" s="1"/>
  <c r="J20" i="1" s="1"/>
  <c r="H14" i="1"/>
  <c r="I14" i="1" s="1"/>
  <c r="J14" i="1" s="1"/>
  <c r="H19" i="1"/>
  <c r="I19" i="1" s="1"/>
  <c r="J19" i="1" s="1"/>
  <c r="H13" i="1"/>
  <c r="I13" i="1" s="1"/>
  <c r="J13" i="1" s="1"/>
  <c r="H22" i="1"/>
  <c r="I22" i="1" s="1"/>
  <c r="J22" i="1" s="1"/>
  <c r="H18" i="1"/>
  <c r="I18" i="1" s="1"/>
  <c r="J18" i="1" s="1"/>
  <c r="H21" i="1"/>
  <c r="I21" i="1" s="1"/>
  <c r="J21" i="1" s="1"/>
  <c r="H17" i="1"/>
  <c r="I17" i="1" s="1"/>
  <c r="J17" i="1" s="1"/>
  <c r="H15" i="1"/>
  <c r="I15" i="1" s="1"/>
  <c r="J15" i="1" s="1"/>
  <c r="H16" i="1"/>
  <c r="I16" i="1" s="1"/>
  <c r="J16" i="1" s="1"/>
  <c r="H12" i="1"/>
  <c r="I12" i="1" s="1"/>
  <c r="J12" i="1" s="1"/>
  <c r="H6" i="1"/>
  <c r="I6" i="1" s="1"/>
  <c r="J6" i="1" s="1"/>
  <c r="H5" i="1"/>
  <c r="I5" i="1" s="1"/>
  <c r="J5" i="1" s="1"/>
  <c r="H7" i="1"/>
  <c r="I7" i="1" s="1"/>
  <c r="J7" i="1" s="1"/>
  <c r="H8" i="1"/>
  <c r="I8" i="1" s="1"/>
  <c r="J8" i="1" s="1"/>
  <c r="H9" i="1"/>
  <c r="I9" i="1" s="1"/>
  <c r="J9" i="1" s="1"/>
  <c r="H10" i="1"/>
  <c r="I10" i="1" s="1"/>
  <c r="J10" i="1" s="1"/>
  <c r="H11" i="1"/>
  <c r="I11" i="1" s="1"/>
  <c r="J11" i="1" s="1"/>
  <c r="H4" i="1"/>
  <c r="I4" i="1" s="1"/>
  <c r="J4" i="1" s="1"/>
  <c r="J23" i="1" l="1"/>
  <c r="J24" i="1" s="1"/>
  <c r="I23" i="1"/>
  <c r="I24" i="1" s="1"/>
  <c r="C40" i="1" l="1"/>
  <c r="D40" i="1" s="1"/>
  <c r="C31" i="1"/>
  <c r="D31" i="1" s="1"/>
  <c r="C30" i="1"/>
  <c r="C39" i="1"/>
  <c r="D39" i="1" s="1"/>
  <c r="D41" i="1" s="1"/>
  <c r="C41" i="1" l="1"/>
  <c r="C32" i="1"/>
  <c r="D30" i="1"/>
  <c r="D32" i="1" s="1"/>
  <c r="C34" i="1" s="1"/>
  <c r="C33" i="1"/>
  <c r="C42" i="1"/>
  <c r="C4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tc={7674968D-F5E6-4582-B7BA-3904962D5F42}</author>
    <author>tc={ECC51F4A-0FEA-4816-8364-44A4AC02EC10}</author>
    <author>tc={A298681F-FA69-425E-B3ED-4A006A48CA43}</author>
  </authors>
  <commentList>
    <comment ref="I23" authorId="0" shapeId="0" xr:uid="{7674968D-F5E6-4582-B7BA-3904962D5F42}">
      <text>
        <t>[Threaded comment]
Your version of Excel allows you to read this threaded comment; however, any edits to it will get removed if the file is opened in a newer version of Excel. Learn more: https://go.microsoft.com/fwlink/?linkid=870924
Comment:
    Macaulay Duration</t>
      </text>
    </comment>
    <comment ref="I24" authorId="1" shapeId="0" xr:uid="{ECC51F4A-0FEA-4816-8364-44A4AC02EC1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Modified Duration
</t>
      </text>
    </comment>
    <comment ref="J24" authorId="2" shapeId="0" xr:uid="{A298681F-FA69-425E-B3ED-4A006A48CA43}">
      <text>
        <t>[Threaded comment]
Your version of Excel allows you to read this threaded comment; however, any edits to it will get removed if the file is opened in a newer version of Excel. Learn more: https://go.microsoft.com/fwlink/?linkid=870924
Comment:
    Modified Convexity</t>
      </text>
    </comment>
  </commentList>
</comments>
</file>

<file path=xl/sharedStrings.xml><?xml version="1.0" encoding="utf-8"?>
<sst xmlns="http://schemas.openxmlformats.org/spreadsheetml/2006/main" count="39" uniqueCount="32">
  <si>
    <t>Inputs</t>
  </si>
  <si>
    <t>Time</t>
  </si>
  <si>
    <t>Coupon</t>
  </si>
  <si>
    <t>Disc. Factor(DF)</t>
  </si>
  <si>
    <t>DCF</t>
  </si>
  <si>
    <t>Weights</t>
  </si>
  <si>
    <t>W*T</t>
  </si>
  <si>
    <t>W*T*(1+T)</t>
  </si>
  <si>
    <t xml:space="preserve">Face value </t>
  </si>
  <si>
    <t>Tenure</t>
  </si>
  <si>
    <t xml:space="preserve">Frequency </t>
  </si>
  <si>
    <t>SA</t>
  </si>
  <si>
    <t>Present Value of cash flows</t>
  </si>
  <si>
    <t>Full revaluation :</t>
  </si>
  <si>
    <t xml:space="preserve">Price at 8% Yield </t>
  </si>
  <si>
    <t>- D * delta y</t>
  </si>
  <si>
    <t xml:space="preserve">Price at 9% Yield </t>
  </si>
  <si>
    <t xml:space="preserve">Total change </t>
  </si>
  <si>
    <t>New price of bond with only Duration =</t>
  </si>
  <si>
    <t>New price of bond with both Duration and Convexity =</t>
  </si>
  <si>
    <t xml:space="preserve">Price at 8.01% Yield </t>
  </si>
  <si>
    <t xml:space="preserve">Yield </t>
  </si>
  <si>
    <t>10 yrs</t>
  </si>
  <si>
    <t>Issue Date</t>
  </si>
  <si>
    <t>Maturity Date</t>
  </si>
  <si>
    <t>Approximation Method</t>
  </si>
  <si>
    <t>8.25% SBI CARDS AND PAYMENT SERVICES LIMITED 08/Aug/2034</t>
  </si>
  <si>
    <t>Duration</t>
  </si>
  <si>
    <t>Convexity</t>
  </si>
  <si>
    <t>(1/2)*C*(delta y )^2</t>
  </si>
  <si>
    <r>
      <t xml:space="preserve">Change yield by + 1 %, from </t>
    </r>
    <r>
      <rPr>
        <b/>
        <sz val="10"/>
        <color theme="3" tint="-0.499984740745262"/>
        <rFont val="Times New Roman"/>
        <family val="1"/>
      </rPr>
      <t xml:space="preserve">8% </t>
    </r>
    <r>
      <rPr>
        <sz val="10"/>
        <color theme="3" tint="-0.499984740745262"/>
        <rFont val="Times New Roman"/>
        <family val="1"/>
      </rPr>
      <t>to</t>
    </r>
    <r>
      <rPr>
        <b/>
        <sz val="10"/>
        <color theme="3" tint="-0.499984740745262"/>
        <rFont val="Times New Roman"/>
        <family val="1"/>
      </rPr>
      <t xml:space="preserve"> 9%</t>
    </r>
  </si>
  <si>
    <r>
      <t xml:space="preserve">Similarly, change yield by 1 bps , from </t>
    </r>
    <r>
      <rPr>
        <b/>
        <sz val="10"/>
        <color theme="3" tint="-0.499984740745262"/>
        <rFont val="Times New Roman"/>
        <family val="1"/>
      </rPr>
      <t xml:space="preserve">8% </t>
    </r>
    <r>
      <rPr>
        <sz val="10"/>
        <color theme="3" tint="-0.499984740745262"/>
        <rFont val="Times New Roman"/>
        <family val="1"/>
      </rPr>
      <t>to</t>
    </r>
    <r>
      <rPr>
        <b/>
        <sz val="10"/>
        <color theme="3" tint="-0.499984740745262"/>
        <rFont val="Times New Roman"/>
        <family val="1"/>
      </rPr>
      <t xml:space="preserve"> 8.01%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</si>
</sst>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₹&quot;\ #,##0.00;[Red]&quot;₹&quot;\ \-#,##0.00"/>
    <numFmt numFmtId="165" formatCode="0.000"/>
  </numFmts>
  <fonts count="14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color rgb="FF000000"/>
      <name val="Arial"/>
      <family val="2"/>
    </font>
    <font>
      <b/>
      <sz val="18"/>
      <color rgb="FF000000"/>
      <name val="Arial"/>
      <family val="2"/>
    </font>
    <font>
      <b/>
      <sz val="11"/>
      <color theme="3" tint="-0.499984740745262"/>
      <name val="Times New Roman"/>
      <family val="1"/>
    </font>
    <font>
      <sz val="11"/>
      <color theme="3" tint="-0.499984740745262"/>
      <name val="Times New Roman"/>
      <family val="1"/>
    </font>
    <font>
      <b/>
      <sz val="10"/>
      <color theme="3" tint="-0.499984740745262"/>
      <name val="Times New Roman"/>
      <family val="1"/>
    </font>
    <font>
      <b/>
      <sz val="10"/>
      <color theme="3" tint="-0.499984740745262"/>
      <name val="Calibri"/>
      <family val="2"/>
      <scheme val="minor"/>
    </font>
    <font>
      <sz val="10"/>
      <color theme="3" tint="-0.499984740745262"/>
      <name val="Times New Roman"/>
      <family val="1"/>
    </font>
    <font>
      <sz val="11"/>
      <color theme="3" tint="-0.499984740745262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Border="1"/>
    <xf numFmtId="0" fontId="2" fillId="0" borderId="0" xfId="0" applyFont="1" applyBorder="1"/>
    <xf numFmtId="0" fontId="4" fillId="0" borderId="0" xfId="0" applyFont="1" applyBorder="1"/>
    <xf numFmtId="2" fontId="4" fillId="0" borderId="0" xfId="0" applyNumberFormat="1" applyFont="1" applyBorder="1"/>
    <xf numFmtId="0" fontId="8" fillId="0" borderId="0" xfId="0" applyFont="1" applyBorder="1"/>
    <xf numFmtId="0" fontId="7" fillId="2" borderId="0" xfId="0" applyFont="1" applyFill="1" applyBorder="1" applyAlignment="1">
      <alignment horizontal="center"/>
    </xf>
    <xf numFmtId="2" fontId="7" fillId="2" borderId="0" xfId="0" applyNumberFormat="1" applyFont="1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4" fontId="5" fillId="0" borderId="0" xfId="0" applyNumberFormat="1" applyFont="1" applyBorder="1" applyAlignment="1">
      <alignment horizontal="center"/>
    </xf>
    <xf numFmtId="10" fontId="5" fillId="0" borderId="0" xfId="0" applyNumberFormat="1" applyFont="1" applyBorder="1" applyAlignment="1">
      <alignment horizontal="center"/>
    </xf>
    <xf numFmtId="9" fontId="2" fillId="0" borderId="0" xfId="0" applyNumberFormat="1" applyFont="1" applyBorder="1" applyAlignment="1">
      <alignment horizontal="center" wrapText="1"/>
    </xf>
    <xf numFmtId="0" fontId="2" fillId="0" borderId="0" xfId="0" applyFont="1" applyBorder="1" applyAlignment="1">
      <alignment horizontal="center"/>
    </xf>
    <xf numFmtId="15" fontId="2" fillId="0" borderId="0" xfId="0" applyNumberFormat="1" applyFont="1" applyBorder="1" applyAlignment="1">
      <alignment horizontal="center"/>
    </xf>
    <xf numFmtId="8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0" borderId="0" xfId="0" applyFont="1" applyFill="1" applyBorder="1" applyAlignment="1"/>
    <xf numFmtId="0" fontId="6" fillId="3" borderId="1" xfId="0" applyFont="1" applyFill="1" applyBorder="1" applyAlignment="1">
      <alignment vertical="center" wrapText="1"/>
    </xf>
    <xf numFmtId="0" fontId="1" fillId="2" borderId="1" xfId="0" applyFont="1" applyFill="1" applyBorder="1" applyAlignment="1"/>
    <xf numFmtId="0" fontId="9" fillId="4" borderId="0" xfId="0" applyFont="1" applyFill="1" applyBorder="1"/>
    <xf numFmtId="0" fontId="10" fillId="4" borderId="0" xfId="0" applyFont="1" applyFill="1" applyBorder="1"/>
    <xf numFmtId="0" fontId="11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12" fillId="0" borderId="0" xfId="0" applyFont="1" applyBorder="1"/>
    <xf numFmtId="0" fontId="9" fillId="2" borderId="1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1" fillId="5" borderId="0" xfId="0" applyFont="1" applyFill="1" applyBorder="1" applyAlignment="1">
      <alignment horizontal="center" vertical="center"/>
    </xf>
    <xf numFmtId="10" fontId="8" fillId="5" borderId="0" xfId="0" applyNumberFormat="1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center" vertical="center"/>
    </xf>
    <xf numFmtId="2" fontId="8" fillId="5" borderId="0" xfId="0" applyNumberFormat="1" applyFont="1" applyFill="1" applyBorder="1" applyAlignment="1">
      <alignment horizontal="center" vertical="center"/>
    </xf>
    <xf numFmtId="0" fontId="4" fillId="5" borderId="0" xfId="0" applyFont="1" applyFill="1" applyBorder="1"/>
    <xf numFmtId="0" fontId="4" fillId="5" borderId="0" xfId="0" applyFont="1" applyFill="1" applyBorder="1" applyAlignment="1">
      <alignment horizontal="left"/>
    </xf>
    <xf numFmtId="165" fontId="4" fillId="0" borderId="0" xfId="0" applyNumberFormat="1" applyFont="1" applyBorder="1"/>
    <xf numFmtId="2" fontId="4" fillId="5" borderId="0" xfId="0" applyNumberFormat="1" applyFont="1" applyFill="1" applyBorder="1"/>
    <xf numFmtId="10" fontId="4" fillId="5" borderId="0" xfId="0" applyNumberFormat="1" applyFont="1" applyFill="1" applyBorder="1"/>
    <xf numFmtId="0" fontId="3" fillId="5" borderId="0" xfId="0" applyFont="1" applyFill="1" applyBorder="1"/>
    <xf numFmtId="165" fontId="3" fillId="5" borderId="0" xfId="0" applyNumberFormat="1" applyFont="1" applyFill="1" applyBorder="1"/>
    <xf numFmtId="165" fontId="4" fillId="5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AUSHIKI choubey" id="{F7CD3B01-129D-4B38-B652-27A275D37734}" userId="4d8e3acc47ba9d9b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23" dT="2024-11-24T18:13:31.42" personId="{F7CD3B01-129D-4B38-B652-27A275D37734}" id="{7674968D-F5E6-4582-B7BA-3904962D5F42}">
    <text>Macaulay Duration</text>
  </threadedComment>
  <threadedComment ref="I24" dT="2024-11-24T18:14:08.96" personId="{F7CD3B01-129D-4B38-B652-27A275D37734}" id="{ECC51F4A-0FEA-4816-8364-44A4AC02EC10}">
    <text xml:space="preserve">Modified Duration
</text>
  </threadedComment>
  <threadedComment ref="J24" dT="2024-11-24T18:14:40.89" personId="{F7CD3B01-129D-4B38-B652-27A275D37734}" id="{A298681F-FA69-425E-B3ED-4A006A48CA43}">
    <text>Modified Convexity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791AC-FC01-4D73-B086-26A9EEEDDCB6}">
  <dimension ref="B1:O47"/>
  <sheetViews>
    <sheetView showGridLines="0" tabSelected="1" zoomScale="86" workbookViewId="0">
      <selection activeCell="N34" sqref="N34"/>
    </sheetView>
  </sheetViews>
  <sheetFormatPr defaultRowHeight="14.4" x14ac:dyDescent="0.3"/>
  <cols>
    <col min="1" max="1" width="2.44140625" style="1" customWidth="1"/>
    <col min="2" max="2" width="65.6640625" style="2" bestFit="1" customWidth="1"/>
    <col min="3" max="3" width="46.109375" style="2" bestFit="1" customWidth="1"/>
    <col min="4" max="4" width="12.6640625" style="3" bestFit="1" customWidth="1"/>
    <col min="5" max="6" width="18.44140625" style="3" bestFit="1" customWidth="1"/>
    <col min="7" max="7" width="19.33203125" style="3" bestFit="1" customWidth="1"/>
    <col min="8" max="8" width="11" style="3" bestFit="1" customWidth="1"/>
    <col min="9" max="9" width="15.33203125" style="3" bestFit="1" customWidth="1"/>
    <col min="10" max="10" width="11.5546875" style="4" bestFit="1" customWidth="1"/>
    <col min="11" max="12" width="8.88671875" style="3"/>
    <col min="13" max="13" width="12" style="3" bestFit="1" customWidth="1"/>
    <col min="14" max="15" width="8.88671875" style="3"/>
    <col min="16" max="16384" width="8.88671875" style="1"/>
  </cols>
  <sheetData>
    <row r="1" spans="2:14" x14ac:dyDescent="0.3">
      <c r="I1" s="26" t="s">
        <v>27</v>
      </c>
      <c r="J1" s="26" t="s">
        <v>28</v>
      </c>
      <c r="K1" s="1"/>
    </row>
    <row r="2" spans="2:14" ht="45.6" x14ac:dyDescent="0.3">
      <c r="B2" s="19" t="s">
        <v>26</v>
      </c>
      <c r="D2" s="6" t="s">
        <v>1</v>
      </c>
      <c r="E2" s="6" t="s">
        <v>2</v>
      </c>
      <c r="F2" s="6" t="s">
        <v>3</v>
      </c>
      <c r="G2" s="7" t="s">
        <v>4</v>
      </c>
      <c r="H2" s="6" t="s">
        <v>5</v>
      </c>
      <c r="I2" s="6" t="s">
        <v>6</v>
      </c>
      <c r="J2" s="6" t="s">
        <v>7</v>
      </c>
      <c r="K2" s="1"/>
      <c r="L2" s="1"/>
      <c r="M2" s="1"/>
      <c r="N2" s="5"/>
    </row>
    <row r="3" spans="2:14" x14ac:dyDescent="0.3">
      <c r="B3" s="20" t="s">
        <v>0</v>
      </c>
      <c r="C3" s="18"/>
      <c r="D3" s="39">
        <v>0.5</v>
      </c>
      <c r="E3" s="36">
        <f>$C$5*$C$4</f>
        <v>825000</v>
      </c>
      <c r="F3" s="36">
        <f>1/(1+$C$6/2)^(D3*2)</f>
        <v>0.96149223595019473</v>
      </c>
      <c r="G3" s="39">
        <f>E3*F3</f>
        <v>793231.09465891065</v>
      </c>
      <c r="H3" s="40">
        <f>G3/$G$23</f>
        <v>5.0311044029362539E-2</v>
      </c>
      <c r="I3" s="36">
        <f>H3*D3</f>
        <v>2.515552201468127E-2</v>
      </c>
      <c r="J3" s="36">
        <f>I3*(1+D3)</f>
        <v>3.7733283022021905E-2</v>
      </c>
      <c r="K3" s="1"/>
      <c r="L3" s="1"/>
      <c r="M3" s="1"/>
      <c r="N3" s="8"/>
    </row>
    <row r="4" spans="2:14" x14ac:dyDescent="0.3">
      <c r="B4" s="21" t="s">
        <v>8</v>
      </c>
      <c r="C4" s="9">
        <v>10000000</v>
      </c>
      <c r="D4" s="39">
        <v>1</v>
      </c>
      <c r="E4" s="36">
        <f t="shared" ref="E4:E21" si="0">$C$5*$C$4</f>
        <v>825000</v>
      </c>
      <c r="F4" s="36">
        <f>1/(1+$C$6/2)^(D4*2)</f>
        <v>0.92446731979250507</v>
      </c>
      <c r="G4" s="39">
        <f t="shared" ref="G4:G22" si="1">E4*F4</f>
        <v>762685.53882881673</v>
      </c>
      <c r="H4" s="40">
        <f>G4/$G$23</f>
        <v>4.8373678216780493E-2</v>
      </c>
      <c r="I4" s="36">
        <f t="shared" ref="I4:I22" si="2">H4*D4</f>
        <v>4.8373678216780493E-2</v>
      </c>
      <c r="J4" s="36">
        <f t="shared" ref="J4:J22" si="3">I4*(1+D4)</f>
        <v>9.6747356433560985E-2</v>
      </c>
      <c r="K4" s="1"/>
      <c r="L4" s="1"/>
      <c r="M4" s="1"/>
    </row>
    <row r="5" spans="2:14" x14ac:dyDescent="0.3">
      <c r="B5" s="21" t="s">
        <v>2</v>
      </c>
      <c r="C5" s="10">
        <v>8.2500000000000004E-2</v>
      </c>
      <c r="D5" s="39">
        <v>1.5</v>
      </c>
      <c r="E5" s="36">
        <f t="shared" si="0"/>
        <v>825000</v>
      </c>
      <c r="F5" s="36">
        <f>1/(1+$C$6/2)^(D5*2)</f>
        <v>0.88886815037017941</v>
      </c>
      <c r="G5" s="39">
        <f t="shared" si="1"/>
        <v>733316.22405539802</v>
      </c>
      <c r="H5" s="40">
        <f>G5/$G$23</f>
        <v>4.6510916029787505E-2</v>
      </c>
      <c r="I5" s="36">
        <f t="shared" si="2"/>
        <v>6.9766374044681251E-2</v>
      </c>
      <c r="J5" s="36">
        <f t="shared" si="3"/>
        <v>0.17441593511170311</v>
      </c>
      <c r="K5" s="1"/>
      <c r="L5" s="1"/>
      <c r="M5" s="1"/>
    </row>
    <row r="6" spans="2:14" x14ac:dyDescent="0.3">
      <c r="B6" s="21" t="s">
        <v>21</v>
      </c>
      <c r="C6" s="11">
        <v>8.0100000000000005E-2</v>
      </c>
      <c r="D6" s="39">
        <v>2</v>
      </c>
      <c r="E6" s="36">
        <f t="shared" si="0"/>
        <v>825000</v>
      </c>
      <c r="F6" s="36">
        <f>1/(1+$C$6/2)^(D6*2)</f>
        <v>0.85463982536433791</v>
      </c>
      <c r="G6" s="39">
        <f t="shared" si="1"/>
        <v>705077.85592557874</v>
      </c>
      <c r="H6" s="40">
        <f>G6/$G$23</f>
        <v>4.4719884649572147E-2</v>
      </c>
      <c r="I6" s="36">
        <f t="shared" si="2"/>
        <v>8.9439769299144295E-2</v>
      </c>
      <c r="J6" s="36">
        <f t="shared" si="3"/>
        <v>0.26831930789743286</v>
      </c>
      <c r="K6" s="1"/>
      <c r="L6" s="1"/>
      <c r="M6" s="1"/>
    </row>
    <row r="7" spans="2:14" x14ac:dyDescent="0.3">
      <c r="B7" s="21" t="s">
        <v>9</v>
      </c>
      <c r="C7" s="12" t="s">
        <v>22</v>
      </c>
      <c r="D7" s="39">
        <v>2.5</v>
      </c>
      <c r="E7" s="36">
        <f t="shared" si="0"/>
        <v>825000</v>
      </c>
      <c r="F7" s="36">
        <f>1/(1+$C$6/2)^(D7*2)</f>
        <v>0.82172955662164138</v>
      </c>
      <c r="G7" s="39">
        <f t="shared" si="1"/>
        <v>677926.88421285409</v>
      </c>
      <c r="H7" s="40">
        <f>G7/$G$23</f>
        <v>4.2997821883151925E-2</v>
      </c>
      <c r="I7" s="36">
        <f t="shared" si="2"/>
        <v>0.10749455470787982</v>
      </c>
      <c r="J7" s="36">
        <f t="shared" si="3"/>
        <v>0.37623094147757935</v>
      </c>
      <c r="K7" s="1"/>
      <c r="L7" s="1"/>
      <c r="M7" s="1"/>
    </row>
    <row r="8" spans="2:14" x14ac:dyDescent="0.3">
      <c r="B8" s="21" t="s">
        <v>10</v>
      </c>
      <c r="C8" s="12" t="s">
        <v>11</v>
      </c>
      <c r="D8" s="39">
        <v>3</v>
      </c>
      <c r="E8" s="36">
        <f t="shared" si="0"/>
        <v>825000</v>
      </c>
      <c r="F8" s="36">
        <f>1/(1+$C$6/2)^(D8*2)</f>
        <v>0.79008658874250415</v>
      </c>
      <c r="G8" s="39">
        <f t="shared" si="1"/>
        <v>651821.4357125659</v>
      </c>
      <c r="H8" s="40">
        <f>G8/$G$23</f>
        <v>4.1342071903419958E-2</v>
      </c>
      <c r="I8" s="36">
        <f t="shared" si="2"/>
        <v>0.12402621571025987</v>
      </c>
      <c r="J8" s="36">
        <f t="shared" si="3"/>
        <v>0.4961048628410395</v>
      </c>
      <c r="K8" s="1"/>
      <c r="L8" s="1"/>
      <c r="M8" s="1"/>
    </row>
    <row r="9" spans="2:14" x14ac:dyDescent="0.3">
      <c r="B9" s="22" t="s">
        <v>23</v>
      </c>
      <c r="C9" s="13">
        <v>45512</v>
      </c>
      <c r="D9" s="39">
        <v>3.5</v>
      </c>
      <c r="E9" s="36">
        <f t="shared" si="0"/>
        <v>825000</v>
      </c>
      <c r="F9" s="36">
        <f>1/(1+$C$6/2)^(D9*2)</f>
        <v>0.7596621208042923</v>
      </c>
      <c r="G9" s="39">
        <f t="shared" si="1"/>
        <v>626721.24966354109</v>
      </c>
      <c r="H9" s="40">
        <f>G9/$G$23</f>
        <v>3.9750081153232981E-2</v>
      </c>
      <c r="I9" s="36">
        <f t="shared" si="2"/>
        <v>0.13912528403631544</v>
      </c>
      <c r="J9" s="36">
        <f t="shared" si="3"/>
        <v>0.62606377816341952</v>
      </c>
      <c r="K9" s="1"/>
      <c r="L9" s="1"/>
      <c r="M9" s="1"/>
    </row>
    <row r="10" spans="2:14" x14ac:dyDescent="0.3">
      <c r="B10" s="21" t="s">
        <v>24</v>
      </c>
      <c r="C10" s="13">
        <v>49164</v>
      </c>
      <c r="D10" s="39">
        <v>4</v>
      </c>
      <c r="E10" s="36">
        <f t="shared" si="0"/>
        <v>825000</v>
      </c>
      <c r="F10" s="36">
        <f>1/(1+$C$6/2)^(D10*2)</f>
        <v>0.73040923109878597</v>
      </c>
      <c r="G10" s="39">
        <f t="shared" si="1"/>
        <v>602587.61565649847</v>
      </c>
      <c r="H10" s="40">
        <f>G10/$G$23</f>
        <v>3.8219394407223682E-2</v>
      </c>
      <c r="I10" s="36">
        <f t="shared" si="2"/>
        <v>0.15287757762889473</v>
      </c>
      <c r="J10" s="36">
        <f t="shared" si="3"/>
        <v>0.76438788814447367</v>
      </c>
      <c r="K10" s="1"/>
      <c r="L10" s="1"/>
      <c r="M10" s="1"/>
    </row>
    <row r="11" spans="2:14" x14ac:dyDescent="0.3">
      <c r="B11" s="21" t="s">
        <v>12</v>
      </c>
      <c r="C11" s="14">
        <f>PV($C$6/2,(10*2),825000,10000000,0)</f>
        <v>-15766540.129756859</v>
      </c>
      <c r="D11" s="39">
        <v>4.5</v>
      </c>
      <c r="E11" s="36">
        <f t="shared" si="0"/>
        <v>825000</v>
      </c>
      <c r="F11" s="36">
        <f>1/(1+$C$6/2)^(D11*2)</f>
        <v>0.70228280476783433</v>
      </c>
      <c r="G11" s="39">
        <f t="shared" si="1"/>
        <v>579383.3139334633</v>
      </c>
      <c r="H11" s="40">
        <f>G11/$G$23</f>
        <v>3.6747650985263863E-2</v>
      </c>
      <c r="I11" s="36">
        <f t="shared" si="2"/>
        <v>0.1653644294336874</v>
      </c>
      <c r="J11" s="36">
        <f t="shared" si="3"/>
        <v>0.90950436188528072</v>
      </c>
      <c r="K11" s="1"/>
      <c r="L11" s="1"/>
      <c r="M11" s="1"/>
    </row>
    <row r="12" spans="2:14" x14ac:dyDescent="0.3">
      <c r="D12" s="39">
        <v>5</v>
      </c>
      <c r="E12" s="36">
        <f t="shared" si="0"/>
        <v>825000</v>
      </c>
      <c r="F12" s="36">
        <f>1/(1+$C$6/2)^(D12*2)</f>
        <v>0.67523946422559922</v>
      </c>
      <c r="G12" s="39">
        <f t="shared" si="1"/>
        <v>557072.5579861193</v>
      </c>
      <c r="H12" s="40">
        <f>G12/$G$23</f>
        <v>3.5332581111738731E-2</v>
      </c>
      <c r="I12" s="36">
        <f t="shared" si="2"/>
        <v>0.17666290555869366</v>
      </c>
      <c r="J12" s="36">
        <f t="shared" si="3"/>
        <v>1.0599774333521619</v>
      </c>
      <c r="K12" s="1"/>
      <c r="L12" s="1"/>
      <c r="M12" s="1"/>
    </row>
    <row r="13" spans="2:14" x14ac:dyDescent="0.3">
      <c r="D13" s="39">
        <v>5.5</v>
      </c>
      <c r="E13" s="36">
        <f t="shared" si="0"/>
        <v>825000</v>
      </c>
      <c r="F13" s="36">
        <f>1/(1+$C$6/2)^(D13*2)</f>
        <v>0.64923750226008281</v>
      </c>
      <c r="G13" s="39">
        <f t="shared" si="1"/>
        <v>535620.93936456833</v>
      </c>
      <c r="H13" s="40">
        <f>G13/$G$23</f>
        <v>3.3972002415017293E-2</v>
      </c>
      <c r="I13" s="36">
        <f t="shared" si="2"/>
        <v>0.18684601328259512</v>
      </c>
      <c r="J13" s="36">
        <f t="shared" si="3"/>
        <v>1.2144990863368683</v>
      </c>
      <c r="K13" s="1"/>
      <c r="L13" s="1"/>
      <c r="M13" s="1"/>
    </row>
    <row r="14" spans="2:14" x14ac:dyDescent="0.3">
      <c r="D14" s="39">
        <v>6</v>
      </c>
      <c r="E14" s="36">
        <f t="shared" si="0"/>
        <v>825000</v>
      </c>
      <c r="F14" s="36">
        <f>1/(1+$C$6/2)^(D14*2)</f>
        <v>0.62423681771076678</v>
      </c>
      <c r="G14" s="39">
        <f t="shared" si="1"/>
        <v>514995.37461138261</v>
      </c>
      <c r="H14" s="40">
        <f>G14/$G$23</f>
        <v>3.2663816561720398E-2</v>
      </c>
      <c r="I14" s="36">
        <f t="shared" si="2"/>
        <v>0.19598289937032237</v>
      </c>
      <c r="J14" s="36">
        <f t="shared" si="3"/>
        <v>1.3718802955922567</v>
      </c>
      <c r="K14" s="1"/>
      <c r="L14" s="1"/>
      <c r="M14" s="1"/>
    </row>
    <row r="15" spans="2:14" x14ac:dyDescent="0.3">
      <c r="D15" s="39">
        <v>6.5</v>
      </c>
      <c r="E15" s="36">
        <f t="shared" si="0"/>
        <v>825000</v>
      </c>
      <c r="F15" s="36">
        <f>1/(1+$C$6/2)^(D15*2)</f>
        <v>0.60019885362315939</v>
      </c>
      <c r="G15" s="39">
        <f t="shared" si="1"/>
        <v>495164.05423910648</v>
      </c>
      <c r="H15" s="40">
        <f>G15/$G$23</f>
        <v>3.1406006020595553E-2</v>
      </c>
      <c r="I15" s="36">
        <f t="shared" si="2"/>
        <v>0.2041390391338711</v>
      </c>
      <c r="J15" s="36">
        <f t="shared" si="3"/>
        <v>1.5310427935040334</v>
      </c>
      <c r="K15" s="1"/>
      <c r="L15" s="1"/>
      <c r="M15" s="1"/>
    </row>
    <row r="16" spans="2:14" x14ac:dyDescent="0.3">
      <c r="D16" s="39">
        <v>7</v>
      </c>
      <c r="E16" s="36">
        <f t="shared" si="0"/>
        <v>825000</v>
      </c>
      <c r="F16" s="36">
        <f>1/(1+$C$6/2)^(D16*2)</f>
        <v>0.57708653778487518</v>
      </c>
      <c r="G16" s="39">
        <f t="shared" si="1"/>
        <v>476096.39367252204</v>
      </c>
      <c r="H16" s="40">
        <f>G16/$G$23</f>
        <v>3.0196630951007698E-2</v>
      </c>
      <c r="I16" s="36">
        <f t="shared" si="2"/>
        <v>0.21137641665705389</v>
      </c>
      <c r="J16" s="36">
        <f t="shared" si="3"/>
        <v>1.6910113332564312</v>
      </c>
      <c r="K16" s="1"/>
      <c r="L16" s="1"/>
      <c r="M16" s="1"/>
    </row>
    <row r="17" spans="2:13" x14ac:dyDescent="0.3">
      <c r="D17" s="39">
        <v>7.5</v>
      </c>
      <c r="E17" s="36">
        <f t="shared" si="0"/>
        <v>825000</v>
      </c>
      <c r="F17" s="36">
        <f>1/(1+$C$6/2)^(D17*2)</f>
        <v>0.55486422555153625</v>
      </c>
      <c r="G17" s="39">
        <f t="shared" si="1"/>
        <v>457762.98608001741</v>
      </c>
      <c r="H17" s="40">
        <f>G17/$G$23</f>
        <v>2.9033826211247248E-2</v>
      </c>
      <c r="I17" s="36">
        <f t="shared" si="2"/>
        <v>0.21775369658435437</v>
      </c>
      <c r="J17" s="36">
        <f t="shared" si="3"/>
        <v>1.8509064209670121</v>
      </c>
      <c r="K17" s="1"/>
      <c r="L17" s="1"/>
      <c r="M17" s="1"/>
    </row>
    <row r="18" spans="2:13" x14ac:dyDescent="0.3">
      <c r="D18" s="39">
        <v>8</v>
      </c>
      <c r="E18" s="36">
        <f t="shared" si="0"/>
        <v>825000</v>
      </c>
      <c r="F18" s="36">
        <f>1/(1+$C$6/2)^(D18*2)</f>
        <v>0.53349764487431972</v>
      </c>
      <c r="G18" s="39">
        <f t="shared" si="1"/>
        <v>440135.55702131375</v>
      </c>
      <c r="H18" s="40">
        <f>G18/$G$23</f>
        <v>2.7915798482041485E-2</v>
      </c>
      <c r="I18" s="36">
        <f t="shared" si="2"/>
        <v>0.22332638785633188</v>
      </c>
      <c r="J18" s="36">
        <f t="shared" si="3"/>
        <v>2.0099374907069869</v>
      </c>
      <c r="K18" s="1"/>
      <c r="L18" s="1"/>
      <c r="M18" s="1"/>
    </row>
    <row r="19" spans="2:13" x14ac:dyDescent="0.3">
      <c r="D19" s="39">
        <v>8.5</v>
      </c>
      <c r="E19" s="36">
        <f t="shared" si="0"/>
        <v>825000</v>
      </c>
      <c r="F19" s="36">
        <f>1/(1+$C$6/2)^(D19*2)</f>
        <v>0.51295384344437267</v>
      </c>
      <c r="G19" s="39">
        <f t="shared" si="1"/>
        <v>423186.92084160744</v>
      </c>
      <c r="H19" s="40">
        <f>G19/$G$23</f>
        <v>2.6840823500833121E-2</v>
      </c>
      <c r="I19" s="36">
        <f t="shared" si="2"/>
        <v>0.22814699975708153</v>
      </c>
      <c r="J19" s="36">
        <f t="shared" si="3"/>
        <v>2.1673964976922746</v>
      </c>
      <c r="K19" s="1"/>
      <c r="L19" s="1"/>
      <c r="M19" s="1"/>
    </row>
    <row r="20" spans="2:13" x14ac:dyDescent="0.3">
      <c r="D20" s="39">
        <v>9</v>
      </c>
      <c r="E20" s="36">
        <f t="shared" si="0"/>
        <v>825000</v>
      </c>
      <c r="F20" s="36">
        <f>1/(1+$C$6/2)^(D20*2)</f>
        <v>0.49320113787257613</v>
      </c>
      <c r="G20" s="39">
        <f t="shared" si="1"/>
        <v>406890.93874487531</v>
      </c>
      <c r="H20" s="40">
        <f>G20/$G$23</f>
        <v>2.5807243402560579E-2</v>
      </c>
      <c r="I20" s="36">
        <f t="shared" si="2"/>
        <v>0.23226519062304521</v>
      </c>
      <c r="J20" s="36">
        <f t="shared" si="3"/>
        <v>2.322651906230452</v>
      </c>
      <c r="K20" s="1"/>
      <c r="L20" s="1"/>
      <c r="M20" s="1"/>
    </row>
    <row r="21" spans="2:13" x14ac:dyDescent="0.3">
      <c r="D21" s="39">
        <v>9.5</v>
      </c>
      <c r="E21" s="36">
        <f t="shared" si="0"/>
        <v>825000</v>
      </c>
      <c r="F21" s="36">
        <f>1/(1+$C$6/2)^(D21*2)</f>
        <v>0.47420906482628344</v>
      </c>
      <c r="G21" s="39">
        <f t="shared" si="1"/>
        <v>391222.47848168382</v>
      </c>
      <c r="H21" s="40">
        <f>G21/$G$23</f>
        <v>2.4813464162838878E-2</v>
      </c>
      <c r="I21" s="36">
        <f t="shared" si="2"/>
        <v>0.23572790954696934</v>
      </c>
      <c r="J21" s="36">
        <f t="shared" si="3"/>
        <v>2.4751430502431782</v>
      </c>
      <c r="K21" s="1"/>
      <c r="L21" s="1"/>
      <c r="M21" s="1"/>
    </row>
    <row r="22" spans="2:13" x14ac:dyDescent="0.3">
      <c r="D22" s="39">
        <v>10</v>
      </c>
      <c r="E22" s="36">
        <f>C4+($C$5*$C$4)</f>
        <v>10825000</v>
      </c>
      <c r="F22" s="36">
        <f>1/(1+$C$6/2)^(D22*2)</f>
        <v>0.45594833404767426</v>
      </c>
      <c r="G22" s="39">
        <f t="shared" si="1"/>
        <v>4935640.7160660736</v>
      </c>
      <c r="H22" s="40">
        <f>G22/$G$23</f>
        <v>0.3130452639226039</v>
      </c>
      <c r="I22" s="36">
        <f t="shared" si="2"/>
        <v>3.1304526392260392</v>
      </c>
      <c r="J22" s="36">
        <f t="shared" si="3"/>
        <v>34.434979031486435</v>
      </c>
      <c r="K22" s="1"/>
      <c r="L22" s="1"/>
      <c r="M22" s="1"/>
    </row>
    <row r="23" spans="2:13" x14ac:dyDescent="0.3">
      <c r="D23" s="36"/>
      <c r="E23" s="41"/>
      <c r="F23" s="36"/>
      <c r="G23" s="42">
        <f>SUM(G3:G22)</f>
        <v>15766540.129756898</v>
      </c>
      <c r="H23" s="43"/>
      <c r="I23" s="42">
        <f>SUM(I3:I22)</f>
        <v>6.1643035026886821</v>
      </c>
      <c r="J23" s="42">
        <f>SUM(J3:J22)</f>
        <v>55.8789330543446</v>
      </c>
      <c r="K23" s="1"/>
      <c r="L23" s="1"/>
      <c r="M23" s="1"/>
    </row>
    <row r="24" spans="2:13" x14ac:dyDescent="0.3">
      <c r="D24" s="36"/>
      <c r="E24" s="36"/>
      <c r="F24" s="36"/>
      <c r="G24" s="43"/>
      <c r="H24" s="43"/>
      <c r="I24" s="43">
        <f>I23/(1+C6/2)</f>
        <v>5.9269299578757586</v>
      </c>
      <c r="J24" s="43">
        <f>J23/(1+C6/2)^2</f>
        <v>51.658247473614772</v>
      </c>
      <c r="K24" s="1"/>
      <c r="L24" s="1"/>
      <c r="M24" s="1"/>
    </row>
    <row r="25" spans="2:13" x14ac:dyDescent="0.3">
      <c r="G25" s="38"/>
      <c r="H25" s="38"/>
      <c r="I25" s="38"/>
      <c r="J25" s="38"/>
      <c r="K25" s="1"/>
      <c r="L25" s="1"/>
      <c r="M25" s="1"/>
    </row>
    <row r="26" spans="2:13" x14ac:dyDescent="0.3">
      <c r="B26" s="28" t="s">
        <v>25</v>
      </c>
      <c r="D26" s="16"/>
      <c r="E26" s="16"/>
      <c r="F26" s="30" t="s">
        <v>13</v>
      </c>
      <c r="H26" s="4"/>
      <c r="J26" s="3"/>
      <c r="K26" s="1"/>
      <c r="L26" s="1"/>
      <c r="M26" s="1"/>
    </row>
    <row r="27" spans="2:13" x14ac:dyDescent="0.3">
      <c r="B27" s="23"/>
      <c r="C27" s="16"/>
      <c r="D27" s="16"/>
      <c r="F27" s="1"/>
      <c r="G27" s="1"/>
      <c r="H27" s="1"/>
      <c r="I27" s="1"/>
      <c r="J27" s="1"/>
      <c r="K27" s="1"/>
      <c r="L27" s="1"/>
    </row>
    <row r="28" spans="2:13" x14ac:dyDescent="0.3">
      <c r="B28" s="29" t="s">
        <v>30</v>
      </c>
      <c r="C28" s="16"/>
      <c r="D28" s="16"/>
      <c r="F28" s="16"/>
      <c r="G28" s="1"/>
      <c r="H28" s="1"/>
    </row>
    <row r="29" spans="2:13" x14ac:dyDescent="0.3">
      <c r="B29" s="27"/>
      <c r="C29" s="16"/>
      <c r="D29" s="16"/>
      <c r="F29" s="16"/>
      <c r="G29" s="1"/>
      <c r="H29" s="1"/>
    </row>
    <row r="30" spans="2:13" x14ac:dyDescent="0.3">
      <c r="B30" s="31" t="s">
        <v>15</v>
      </c>
      <c r="C30" s="32">
        <f>-I24*1%</f>
        <v>-5.9269299578757588E-2</v>
      </c>
      <c r="D30" s="33">
        <f>C30*G31</f>
        <v>-935025.87348143652</v>
      </c>
      <c r="E30" s="1"/>
      <c r="F30" s="1"/>
      <c r="H30" s="1"/>
    </row>
    <row r="31" spans="2:13" x14ac:dyDescent="0.3">
      <c r="B31" s="31" t="s">
        <v>29</v>
      </c>
      <c r="C31" s="32">
        <f>0.2*J24*(1%)^2</f>
        <v>1.0331649494722955E-3</v>
      </c>
      <c r="D31" s="33">
        <f>C31*G31</f>
        <v>16299.095251616058</v>
      </c>
      <c r="E31" s="1"/>
      <c r="F31" s="33" t="s">
        <v>14</v>
      </c>
      <c r="G31" s="36">
        <v>15775888.699999999</v>
      </c>
      <c r="H31" s="1"/>
    </row>
    <row r="32" spans="2:13" x14ac:dyDescent="0.3">
      <c r="B32" s="31" t="s">
        <v>17</v>
      </c>
      <c r="C32" s="32">
        <f>SUM(C30:C31)</f>
        <v>-5.8236134629285292E-2</v>
      </c>
      <c r="D32" s="33">
        <f>SUM(D30:D31)</f>
        <v>-918726.77822982043</v>
      </c>
      <c r="E32" s="1"/>
      <c r="F32" s="33" t="s">
        <v>16</v>
      </c>
      <c r="G32" s="36">
        <v>14877976.17</v>
      </c>
      <c r="H32" s="1"/>
    </row>
    <row r="33" spans="2:8" x14ac:dyDescent="0.3">
      <c r="B33" s="31" t="s">
        <v>18</v>
      </c>
      <c r="C33" s="34">
        <f>G31+D30</f>
        <v>14840862.826518564</v>
      </c>
      <c r="D33" s="33"/>
      <c r="E33" s="1"/>
      <c r="F33" s="16"/>
      <c r="H33" s="1"/>
    </row>
    <row r="34" spans="2:8" x14ac:dyDescent="0.3">
      <c r="B34" s="31" t="s">
        <v>19</v>
      </c>
      <c r="C34" s="34">
        <f>G31+D32</f>
        <v>14857161.92177018</v>
      </c>
      <c r="D34" s="33"/>
      <c r="E34" s="1"/>
      <c r="F34" s="16"/>
      <c r="H34" s="1"/>
    </row>
    <row r="35" spans="2:8" x14ac:dyDescent="0.3">
      <c r="B35" s="24"/>
      <c r="C35" s="26"/>
      <c r="D35" s="16"/>
      <c r="E35" s="1"/>
      <c r="F35" s="16"/>
      <c r="H35" s="1"/>
    </row>
    <row r="36" spans="2:8" x14ac:dyDescent="0.3">
      <c r="B36" s="24"/>
      <c r="C36" s="26"/>
      <c r="D36" s="16"/>
      <c r="E36" s="1"/>
      <c r="F36" s="16"/>
      <c r="H36" s="1"/>
    </row>
    <row r="37" spans="2:8" x14ac:dyDescent="0.3">
      <c r="B37" s="29" t="s">
        <v>31</v>
      </c>
      <c r="C37" s="26"/>
      <c r="D37" s="16"/>
      <c r="E37" s="1"/>
      <c r="F37" s="16"/>
      <c r="H37" s="1"/>
    </row>
    <row r="38" spans="2:8" x14ac:dyDescent="0.3">
      <c r="B38" s="25"/>
      <c r="C38" s="26"/>
      <c r="D38" s="16"/>
      <c r="E38" s="1"/>
      <c r="F38" s="16"/>
      <c r="H38" s="1"/>
    </row>
    <row r="39" spans="2:8" x14ac:dyDescent="0.3">
      <c r="B39" s="31" t="s">
        <v>15</v>
      </c>
      <c r="C39" s="32">
        <f>-I24*0.01%</f>
        <v>-5.926929957875759E-4</v>
      </c>
      <c r="D39" s="33">
        <f>C39*G40</f>
        <v>-9350.2589126222647</v>
      </c>
      <c r="E39" s="1"/>
      <c r="F39" s="17"/>
      <c r="H39" s="1"/>
    </row>
    <row r="40" spans="2:8" x14ac:dyDescent="0.3">
      <c r="B40" s="31" t="s">
        <v>29</v>
      </c>
      <c r="C40" s="35">
        <f>0.5*J24*(0.01%)^2</f>
        <v>2.5829123736807389E-7</v>
      </c>
      <c r="D40" s="33">
        <f>C40*G40</f>
        <v>4.0747738903913859</v>
      </c>
      <c r="E40" s="1"/>
      <c r="F40" s="33" t="s">
        <v>14</v>
      </c>
      <c r="G40" s="37">
        <v>15775889</v>
      </c>
    </row>
    <row r="41" spans="2:8" x14ac:dyDescent="0.3">
      <c r="B41" s="31" t="s">
        <v>17</v>
      </c>
      <c r="C41" s="32">
        <f>SUM(C39:C40)</f>
        <v>-5.9243470455020786E-4</v>
      </c>
      <c r="D41" s="33">
        <f>SUM(D39:D40)</f>
        <v>-9346.1841387318727</v>
      </c>
      <c r="E41" s="1"/>
      <c r="F41" s="33" t="s">
        <v>20</v>
      </c>
      <c r="G41" s="37">
        <v>15766540.130000001</v>
      </c>
    </row>
    <row r="42" spans="2:8" x14ac:dyDescent="0.3">
      <c r="B42" s="31" t="s">
        <v>18</v>
      </c>
      <c r="C42" s="34">
        <f>G40+D39</f>
        <v>15766538.741087377</v>
      </c>
      <c r="D42" s="33"/>
      <c r="F42" s="16"/>
      <c r="G42" s="16"/>
    </row>
    <row r="43" spans="2:8" x14ac:dyDescent="0.3">
      <c r="B43" s="31" t="s">
        <v>19</v>
      </c>
      <c r="C43" s="34">
        <f>G40+D41</f>
        <v>15766542.815861268</v>
      </c>
      <c r="D43" s="33"/>
      <c r="F43" s="16"/>
      <c r="G43" s="16"/>
    </row>
    <row r="44" spans="2:8" x14ac:dyDescent="0.3">
      <c r="C44" s="15"/>
      <c r="D44" s="16"/>
      <c r="E44" s="16"/>
      <c r="F44" s="16"/>
      <c r="G44" s="16"/>
    </row>
    <row r="45" spans="2:8" x14ac:dyDescent="0.3">
      <c r="C45" s="15"/>
      <c r="D45" s="16"/>
      <c r="E45" s="16"/>
      <c r="F45" s="16"/>
      <c r="G45" s="16"/>
    </row>
    <row r="46" spans="2:8" x14ac:dyDescent="0.3">
      <c r="C46" s="15"/>
      <c r="D46" s="16"/>
      <c r="E46" s="16"/>
      <c r="F46" s="16"/>
      <c r="G46" s="16"/>
    </row>
    <row r="47" spans="2:8" x14ac:dyDescent="0.3">
      <c r="C47" s="15"/>
      <c r="D47" s="16"/>
      <c r="E47" s="16"/>
      <c r="F47" s="16"/>
      <c r="G47" s="16"/>
    </row>
  </sheetData>
  <phoneticPr fontId="13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KAUSHIKI choubey</dc:creator>
  <cp:lastModifiedBy>KAUSHIKI choubey</cp:lastModifiedBy>
  <dcterms:created xsi:type="dcterms:W3CDTF">2024-11-24T17:31:34Z</dcterms:created>
  <dcterms:modified xsi:type="dcterms:W3CDTF">2025-06-01T03:35:29Z</dcterms:modified>
</cp:coreProperties>
</file>